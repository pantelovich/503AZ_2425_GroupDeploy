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TV Matrix" sheetId="1" r:id="rId1"/>
    <sheet name="Risk Heat Map" sheetId="2" r:id="rId2"/>
    <sheet name="Presentation Notes" sheetId="3" r:id="rId3"/>
  </sheets>
  <definedNames>
    <definedName name="_xlnm._FilterDatabase" localSheetId="0" hidden="1">'ATV Matrix'!$A$4:$L$18</definedName>
  </definedNames>
  <calcPr calcId="124519" fullCalcOnLoad="1"/>
</workbook>
</file>

<file path=xl/sharedStrings.xml><?xml version="1.0" encoding="utf-8"?>
<sst xmlns="http://schemas.openxmlformats.org/spreadsheetml/2006/main" count="151" uniqueCount="110">
  <si>
    <t>503AZ Week 4 ATV Risk Analysis</t>
  </si>
  <si>
    <t>Consequence x likelihood. This is the starting risk picture before controls are applied.</t>
  </si>
  <si>
    <t>Asset ID</t>
  </si>
  <si>
    <t>Asset</t>
  </si>
  <si>
    <t>Consequence Score</t>
  </si>
  <si>
    <t>Threat ID</t>
  </si>
  <si>
    <t>Threat</t>
  </si>
  <si>
    <t>Vulnerability ID</t>
  </si>
  <si>
    <t>Vulnerability</t>
  </si>
  <si>
    <t>Likelihood Score</t>
  </si>
  <si>
    <t>Overall Score</t>
  </si>
  <si>
    <t>Action</t>
  </si>
  <si>
    <t>Owner</t>
  </si>
  <si>
    <t>Evidence Needed</t>
  </si>
  <si>
    <t>A1</t>
  </si>
  <si>
    <t>Public webserver and application</t>
  </si>
  <si>
    <t>A1T1</t>
  </si>
  <si>
    <t>Unauthorised access to public application data</t>
  </si>
  <si>
    <t>A1T1V1</t>
  </si>
  <si>
    <t>The dashboard is public over HTTP and displays operational data</t>
  </si>
  <si>
    <t>Treat</t>
  </si>
  <si>
    <t>Pantelis</t>
  </si>
  <si>
    <t>Web security group screenshot and public app screenshot</t>
  </si>
  <si>
    <t>A1T2</t>
  </si>
  <si>
    <t>Disclosure of personnel information</t>
  </si>
  <si>
    <t>A1T2V1</t>
  </si>
  <si>
    <t>Personnel data is displayed in the web application</t>
  </si>
  <si>
    <t>Dashboard screenshot showing visible data</t>
  </si>
  <si>
    <t>A1T3</t>
  </si>
  <si>
    <t>Webserver information leakage</t>
  </si>
  <si>
    <t>A1T3V1</t>
  </si>
  <si>
    <t>PHP errors are displayed to users</t>
  </si>
  <si>
    <t>PHP config or error page evidence</t>
  </si>
  <si>
    <t>A1T4</t>
  </si>
  <si>
    <t>Application layer denial of service</t>
  </si>
  <si>
    <t>A1T4V1</t>
  </si>
  <si>
    <t>Public HTTP service has no visible WAF, rate limit, or CloudFront layer</t>
  </si>
  <si>
    <t>WAF, CloudFront, and logging check</t>
  </si>
  <si>
    <t>A2</t>
  </si>
  <si>
    <t>MongoDB database</t>
  </si>
  <si>
    <t>A2T1</t>
  </si>
  <si>
    <t>Unauthorised database access</t>
  </si>
  <si>
    <t>A2T1V1</t>
  </si>
  <si>
    <t>MongoDB port 27017 is open to 0.0.0.0/0</t>
  </si>
  <si>
    <t>Mike</t>
  </si>
  <si>
    <t>MongoDB security group screenshot</t>
  </si>
  <si>
    <t>A2T2</t>
  </si>
  <si>
    <t>Direct database connection from the internet</t>
  </si>
  <si>
    <t>A2T2V1</t>
  </si>
  <si>
    <t>MongoDB is placed in a public subnet and uses a public IP</t>
  </si>
  <si>
    <t>Instance subnet and public IP screenshot</t>
  </si>
  <si>
    <t>A2T3</t>
  </si>
  <si>
    <t>Data breach of employee and operational data</t>
  </si>
  <si>
    <t>A2T3V1</t>
  </si>
  <si>
    <t>Database contains personnel and operational data</t>
  </si>
  <si>
    <t>DBLoad review and database collection screenshot</t>
  </si>
  <si>
    <t>A2T4</t>
  </si>
  <si>
    <t>Data loss or weak recovery</t>
  </si>
  <si>
    <t>A2T4V1</t>
  </si>
  <si>
    <t>No backup or recovery process is shown in the template</t>
  </si>
  <si>
    <t>Backup or snapshot settings screenshot</t>
  </si>
  <si>
    <t>A3</t>
  </si>
  <si>
    <t>VPC and network</t>
  </si>
  <si>
    <t>A3T1</t>
  </si>
  <si>
    <t>Internet exposure of internal services</t>
  </si>
  <si>
    <t>A3T1V1</t>
  </si>
  <si>
    <t>Public subnets assign public IPs and route to the internet gateway</t>
  </si>
  <si>
    <t>Shared</t>
  </si>
  <si>
    <t>VPC subnet and route table screenshots</t>
  </si>
  <si>
    <t>A3T2</t>
  </si>
  <si>
    <t>Weak network separation</t>
  </si>
  <si>
    <t>A3T2V1</t>
  </si>
  <si>
    <t>Web and database resources are both in the public subnet area</t>
  </si>
  <si>
    <t>Subnet placement screenshot</t>
  </si>
  <si>
    <t>A3T3</t>
  </si>
  <si>
    <t>Over permissive inbound access</t>
  </si>
  <si>
    <t>A3T3V1</t>
  </si>
  <si>
    <t>Security groups allow public access to important services</t>
  </si>
  <si>
    <t>Security group screenshots</t>
  </si>
  <si>
    <t>A4</t>
  </si>
  <si>
    <t>Deployment and configuration</t>
  </si>
  <si>
    <t>A4T1</t>
  </si>
  <si>
    <t>Insecure default deployment</t>
  </si>
  <si>
    <t>A4T1V1</t>
  </si>
  <si>
    <t>Template deploys intentionally insecure resources unless changed</t>
  </si>
  <si>
    <t>CloudFormation template review</t>
  </si>
  <si>
    <t>A4T2</t>
  </si>
  <si>
    <t>Configuration drift after deployment</t>
  </si>
  <si>
    <t>A4T2V1</t>
  </si>
  <si>
    <t>No monitoring or change review process is shown in the repo</t>
  </si>
  <si>
    <t>Monitoring and change review check</t>
  </si>
  <si>
    <t>A5</t>
  </si>
  <si>
    <t>Optional VDI</t>
  </si>
  <si>
    <t>A5T1</t>
  </si>
  <si>
    <t>Remote desktop compromise</t>
  </si>
  <si>
    <t>A5T1V1</t>
  </si>
  <si>
    <t>Optional RDP access allows port 3389 from 0.0.0.0/0</t>
  </si>
  <si>
    <t>Treat if used</t>
  </si>
  <si>
    <t>VDI security group screenshot if deployed</t>
  </si>
  <si>
    <t>Risk Heat Map</t>
  </si>
  <si>
    <t>Consequence x Likelihood</t>
  </si>
  <si>
    <t>1 to 6: low</t>
  </si>
  <si>
    <t>7 to 14: medium</t>
  </si>
  <si>
    <t>15 to 25: high</t>
  </si>
  <si>
    <t>Presentation Notes</t>
  </si>
  <si>
    <t>Main message: internet to public webserver to public MongoDB to sensitive data.</t>
  </si>
  <si>
    <t>Pantelis: webserver is public on port 80, displays data, and has PHP errors enabled.</t>
  </si>
  <si>
    <t>Mike: MongoDB is public on port 27017, placed in a public subnet, and stores personnel and operational data.</t>
  </si>
  <si>
    <t>Shared: public routing and weak separation make the exposure worse.</t>
  </si>
  <si>
    <t>Do not claim controls are complete in Week 4. This is the starting risk picture.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</si>
</sst>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1F2933"/>
      <name val="Calibri"/>
      <family val="2"/>
      <scheme val="minor"/>
    </font>
    <font>
      <sz val="10"/>
      <color rgb="FF4B556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4.7109375" customWidth="1"/>
    <col min="3" max="3" width="13.7109375" customWidth="1"/>
    <col min="4" max="4" width="10.7109375" customWidth="1"/>
    <col min="5" max="5" width="30.7109375" customWidth="1"/>
    <col min="6" max="6" width="14.7109375" customWidth="1"/>
    <col min="7" max="7" width="42.7109375" customWidth="1"/>
    <col min="8" max="11" width="12.7109375" customWidth="1"/>
    <col min="12" max="12" width="34.7109375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3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spans="1:12" ht="45" customHeight="1">
      <c r="A5" s="4" t="s">
        <v>14</v>
      </c>
      <c r="B5" s="5" t="s">
        <v>15</v>
      </c>
      <c r="C5" s="4">
        <v>5</v>
      </c>
      <c r="D5" s="4" t="s">
        <v>16</v>
      </c>
      <c r="E5" s="5" t="s">
        <v>17</v>
      </c>
      <c r="F5" s="4" t="s">
        <v>18</v>
      </c>
      <c r="G5" s="5" t="s">
        <v>19</v>
      </c>
      <c r="H5" s="4">
        <v>4</v>
      </c>
      <c r="I5" s="4">
        <f>C5*H5</f>
        <v>0</v>
      </c>
      <c r="J5" s="4" t="s">
        <v>20</v>
      </c>
      <c r="K5" s="4" t="s">
        <v>21</v>
      </c>
      <c r="L5" s="5" t="s">
        <v>22</v>
      </c>
    </row>
    <row r="6" spans="1:12" ht="45" customHeight="1">
      <c r="A6" s="4" t="s">
        <v>14</v>
      </c>
      <c r="B6" s="5" t="s">
        <v>15</v>
      </c>
      <c r="C6" s="4">
        <v>5</v>
      </c>
      <c r="D6" s="4" t="s">
        <v>23</v>
      </c>
      <c r="E6" s="5" t="s">
        <v>24</v>
      </c>
      <c r="F6" s="4" t="s">
        <v>25</v>
      </c>
      <c r="G6" s="5" t="s">
        <v>26</v>
      </c>
      <c r="H6" s="4">
        <v>4</v>
      </c>
      <c r="I6" s="4">
        <f>C6*H6</f>
        <v>0</v>
      </c>
      <c r="J6" s="4" t="s">
        <v>20</v>
      </c>
      <c r="K6" s="4" t="s">
        <v>21</v>
      </c>
      <c r="L6" s="5" t="s">
        <v>27</v>
      </c>
    </row>
    <row r="7" spans="1:12" ht="45" customHeight="1">
      <c r="A7" s="4" t="s">
        <v>14</v>
      </c>
      <c r="B7" s="5" t="s">
        <v>15</v>
      </c>
      <c r="C7" s="4">
        <v>4</v>
      </c>
      <c r="D7" s="4" t="s">
        <v>28</v>
      </c>
      <c r="E7" s="5" t="s">
        <v>29</v>
      </c>
      <c r="F7" s="4" t="s">
        <v>30</v>
      </c>
      <c r="G7" s="5" t="s">
        <v>31</v>
      </c>
      <c r="H7" s="4">
        <v>4</v>
      </c>
      <c r="I7" s="4">
        <f>C7*H7</f>
        <v>0</v>
      </c>
      <c r="J7" s="4" t="s">
        <v>20</v>
      </c>
      <c r="K7" s="4" t="s">
        <v>21</v>
      </c>
      <c r="L7" s="5" t="s">
        <v>32</v>
      </c>
    </row>
    <row r="8" spans="1:12" ht="45" customHeight="1">
      <c r="A8" s="4" t="s">
        <v>14</v>
      </c>
      <c r="B8" s="5" t="s">
        <v>15</v>
      </c>
      <c r="C8" s="4">
        <v>4</v>
      </c>
      <c r="D8" s="4" t="s">
        <v>33</v>
      </c>
      <c r="E8" s="5" t="s">
        <v>34</v>
      </c>
      <c r="F8" s="4" t="s">
        <v>35</v>
      </c>
      <c r="G8" s="5" t="s">
        <v>36</v>
      </c>
      <c r="H8" s="4">
        <v>3</v>
      </c>
      <c r="I8" s="4">
        <f>C8*H8</f>
        <v>0</v>
      </c>
      <c r="J8" s="4" t="s">
        <v>20</v>
      </c>
      <c r="K8" s="4" t="s">
        <v>21</v>
      </c>
      <c r="L8" s="5" t="s">
        <v>37</v>
      </c>
    </row>
    <row r="9" spans="1:12" ht="45" customHeight="1">
      <c r="A9" s="4" t="s">
        <v>38</v>
      </c>
      <c r="B9" s="5" t="s">
        <v>39</v>
      </c>
      <c r="C9" s="4">
        <v>5</v>
      </c>
      <c r="D9" s="4" t="s">
        <v>40</v>
      </c>
      <c r="E9" s="5" t="s">
        <v>41</v>
      </c>
      <c r="F9" s="4" t="s">
        <v>42</v>
      </c>
      <c r="G9" s="5" t="s">
        <v>43</v>
      </c>
      <c r="H9" s="4">
        <v>5</v>
      </c>
      <c r="I9" s="4">
        <f>C9*H9</f>
        <v>0</v>
      </c>
      <c r="J9" s="4" t="s">
        <v>20</v>
      </c>
      <c r="K9" s="4" t="s">
        <v>44</v>
      </c>
      <c r="L9" s="5" t="s">
        <v>45</v>
      </c>
    </row>
    <row r="10" spans="1:12" ht="45" customHeight="1">
      <c r="A10" s="4" t="s">
        <v>38</v>
      </c>
      <c r="B10" s="5" t="s">
        <v>39</v>
      </c>
      <c r="C10" s="4">
        <v>5</v>
      </c>
      <c r="D10" s="4" t="s">
        <v>46</v>
      </c>
      <c r="E10" s="5" t="s">
        <v>47</v>
      </c>
      <c r="F10" s="4" t="s">
        <v>48</v>
      </c>
      <c r="G10" s="5" t="s">
        <v>49</v>
      </c>
      <c r="H10" s="4">
        <v>5</v>
      </c>
      <c r="I10" s="4">
        <f>C10*H10</f>
        <v>0</v>
      </c>
      <c r="J10" s="4" t="s">
        <v>20</v>
      </c>
      <c r="K10" s="4" t="s">
        <v>44</v>
      </c>
      <c r="L10" s="5" t="s">
        <v>50</v>
      </c>
    </row>
    <row r="11" spans="1:12" ht="45" customHeight="1">
      <c r="A11" s="4" t="s">
        <v>38</v>
      </c>
      <c r="B11" s="5" t="s">
        <v>39</v>
      </c>
      <c r="C11" s="4">
        <v>5</v>
      </c>
      <c r="D11" s="4" t="s">
        <v>51</v>
      </c>
      <c r="E11" s="5" t="s">
        <v>52</v>
      </c>
      <c r="F11" s="4" t="s">
        <v>53</v>
      </c>
      <c r="G11" s="5" t="s">
        <v>54</v>
      </c>
      <c r="H11" s="4">
        <v>4</v>
      </c>
      <c r="I11" s="4">
        <f>C11*H11</f>
        <v>0</v>
      </c>
      <c r="J11" s="4" t="s">
        <v>20</v>
      </c>
      <c r="K11" s="4" t="s">
        <v>44</v>
      </c>
      <c r="L11" s="5" t="s">
        <v>55</v>
      </c>
    </row>
    <row r="12" spans="1:12" ht="45" customHeight="1">
      <c r="A12" s="4" t="s">
        <v>38</v>
      </c>
      <c r="B12" s="5" t="s">
        <v>39</v>
      </c>
      <c r="C12" s="4">
        <v>4</v>
      </c>
      <c r="D12" s="4" t="s">
        <v>56</v>
      </c>
      <c r="E12" s="5" t="s">
        <v>57</v>
      </c>
      <c r="F12" s="4" t="s">
        <v>58</v>
      </c>
      <c r="G12" s="5" t="s">
        <v>59</v>
      </c>
      <c r="H12" s="4">
        <v>3</v>
      </c>
      <c r="I12" s="4">
        <f>C12*H12</f>
        <v>0</v>
      </c>
      <c r="J12" s="4" t="s">
        <v>20</v>
      </c>
      <c r="K12" s="4" t="s">
        <v>44</v>
      </c>
      <c r="L12" s="5" t="s">
        <v>60</v>
      </c>
    </row>
    <row r="13" spans="1:12" ht="45" customHeight="1">
      <c r="A13" s="4" t="s">
        <v>61</v>
      </c>
      <c r="B13" s="5" t="s">
        <v>62</v>
      </c>
      <c r="C13" s="4">
        <v>5</v>
      </c>
      <c r="D13" s="4" t="s">
        <v>63</v>
      </c>
      <c r="E13" s="5" t="s">
        <v>64</v>
      </c>
      <c r="F13" s="4" t="s">
        <v>65</v>
      </c>
      <c r="G13" s="5" t="s">
        <v>66</v>
      </c>
      <c r="H13" s="4">
        <v>4</v>
      </c>
      <c r="I13" s="4">
        <f>C13*H13</f>
        <v>0</v>
      </c>
      <c r="J13" s="4" t="s">
        <v>20</v>
      </c>
      <c r="K13" s="4" t="s">
        <v>67</v>
      </c>
      <c r="L13" s="5" t="s">
        <v>68</v>
      </c>
    </row>
    <row r="14" spans="1:12" ht="45" customHeight="1">
      <c r="A14" s="4" t="s">
        <v>61</v>
      </c>
      <c r="B14" s="5" t="s">
        <v>62</v>
      </c>
      <c r="C14" s="4">
        <v>4</v>
      </c>
      <c r="D14" s="4" t="s">
        <v>69</v>
      </c>
      <c r="E14" s="5" t="s">
        <v>70</v>
      </c>
      <c r="F14" s="4" t="s">
        <v>71</v>
      </c>
      <c r="G14" s="5" t="s">
        <v>72</v>
      </c>
      <c r="H14" s="4">
        <v>4</v>
      </c>
      <c r="I14" s="4">
        <f>C14*H14</f>
        <v>0</v>
      </c>
      <c r="J14" s="4" t="s">
        <v>20</v>
      </c>
      <c r="K14" s="4" t="s">
        <v>67</v>
      </c>
      <c r="L14" s="5" t="s">
        <v>73</v>
      </c>
    </row>
    <row r="15" spans="1:12" ht="45" customHeight="1">
      <c r="A15" s="4" t="s">
        <v>61</v>
      </c>
      <c r="B15" s="5" t="s">
        <v>62</v>
      </c>
      <c r="C15" s="4">
        <v>4</v>
      </c>
      <c r="D15" s="4" t="s">
        <v>74</v>
      </c>
      <c r="E15" s="5" t="s">
        <v>75</v>
      </c>
      <c r="F15" s="4" t="s">
        <v>76</v>
      </c>
      <c r="G15" s="5" t="s">
        <v>77</v>
      </c>
      <c r="H15" s="4">
        <v>4</v>
      </c>
      <c r="I15" s="4">
        <f>C15*H15</f>
        <v>0</v>
      </c>
      <c r="J15" s="4" t="s">
        <v>20</v>
      </c>
      <c r="K15" s="4" t="s">
        <v>67</v>
      </c>
      <c r="L15" s="5" t="s">
        <v>78</v>
      </c>
    </row>
    <row r="16" spans="1:12" ht="45" customHeight="1">
      <c r="A16" s="4" t="s">
        <v>79</v>
      </c>
      <c r="B16" s="5" t="s">
        <v>80</v>
      </c>
      <c r="C16" s="4">
        <v>4</v>
      </c>
      <c r="D16" s="4" t="s">
        <v>81</v>
      </c>
      <c r="E16" s="5" t="s">
        <v>82</v>
      </c>
      <c r="F16" s="4" t="s">
        <v>83</v>
      </c>
      <c r="G16" s="5" t="s">
        <v>84</v>
      </c>
      <c r="H16" s="4">
        <v>4</v>
      </c>
      <c r="I16" s="4">
        <f>C16*H16</f>
        <v>0</v>
      </c>
      <c r="J16" s="4" t="s">
        <v>20</v>
      </c>
      <c r="K16" s="4" t="s">
        <v>67</v>
      </c>
      <c r="L16" s="5" t="s">
        <v>85</v>
      </c>
    </row>
    <row r="17" spans="1:12" ht="45" customHeight="1">
      <c r="A17" s="4" t="s">
        <v>79</v>
      </c>
      <c r="B17" s="5" t="s">
        <v>80</v>
      </c>
      <c r="C17" s="4">
        <v>4</v>
      </c>
      <c r="D17" s="4" t="s">
        <v>86</v>
      </c>
      <c r="E17" s="5" t="s">
        <v>87</v>
      </c>
      <c r="F17" s="4" t="s">
        <v>88</v>
      </c>
      <c r="G17" s="5" t="s">
        <v>89</v>
      </c>
      <c r="H17" s="4">
        <v>3</v>
      </c>
      <c r="I17" s="4">
        <f>C17*H17</f>
        <v>0</v>
      </c>
      <c r="J17" s="4" t="s">
        <v>20</v>
      </c>
      <c r="K17" s="4" t="s">
        <v>67</v>
      </c>
      <c r="L17" s="5" t="s">
        <v>90</v>
      </c>
    </row>
    <row r="18" spans="1:12" ht="45" customHeight="1">
      <c r="A18" s="4" t="s">
        <v>91</v>
      </c>
      <c r="B18" s="5" t="s">
        <v>92</v>
      </c>
      <c r="C18" s="4">
        <v>4</v>
      </c>
      <c r="D18" s="4" t="s">
        <v>93</v>
      </c>
      <c r="E18" s="5" t="s">
        <v>94</v>
      </c>
      <c r="F18" s="4" t="s">
        <v>95</v>
      </c>
      <c r="G18" s="5" t="s">
        <v>96</v>
      </c>
      <c r="H18" s="4">
        <v>4</v>
      </c>
      <c r="I18" s="4">
        <f>C18*H18</f>
        <v>0</v>
      </c>
      <c r="J18" s="4" t="s">
        <v>97</v>
      </c>
      <c r="K18" s="4" t="s">
        <v>67</v>
      </c>
      <c r="L18" s="5" t="s">
        <v>98</v>
      </c>
    </row>
  </sheetData>
  <autoFilter ref="A4:L18"/>
  <mergeCells count="2">
    <mergeCell ref="A1:L1"/>
    <mergeCell ref="A2:L2"/>
  </mergeCells>
  <conditionalFormatting sqref="C5:C18">
    <cfRule type="cellIs" dxfId="0" priority="1" operator="lessThanOrEqual">
      <formula>2</formula>
    </cfRule>
    <cfRule type="cellIs" dxfId="1" priority="2" operator="between">
      <formula>3</formula>
      <formula>4</formula>
    </cfRule>
    <cfRule type="cellIs" dxfId="2" priority="3" operator="greaterThanOrEqual">
      <formula>5</formula>
    </cfRule>
  </conditionalFormatting>
  <conditionalFormatting sqref="H5:H18">
    <cfRule type="cellIs" dxfId="0" priority="4" operator="lessThanOrEqual">
      <formula>2</formula>
    </cfRule>
    <cfRule type="cellIs" dxfId="1" priority="5" operator="between">
      <formula>3</formula>
      <formula>4</formula>
    </cfRule>
    <cfRule type="cellIs" dxfId="2" priority="6" operator="greaterThanOrEqual">
      <formula>5</formula>
    </cfRule>
  </conditionalFormatting>
  <conditionalFormatting sqref="I5:I18">
    <cfRule type="cellIs" dxfId="0" priority="7" operator="lessThanOrEqual">
      <formula>6</formula>
    </cfRule>
    <cfRule type="cellIs" dxfId="1" priority="8" operator="between">
      <formula>7</formula>
      <formula>14</formula>
    </cfRule>
    <cfRule type="cellIs" dxfId="2" priority="9" operator="greaterThanOrEqual">
      <formula>15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1" width="28.7109375" customWidth="1"/>
    <col min="2" max="6" width="12.7109375" customWidth="1"/>
  </cols>
  <sheetData>
    <row r="1" spans="1:6">
      <c r="A1" s="1" t="s">
        <v>99</v>
      </c>
    </row>
    <row r="3" spans="1:6">
      <c r="A3" s="3" t="s">
        <v>100</v>
      </c>
      <c r="B3" s="3">
        <v>1</v>
      </c>
      <c r="C3" s="3">
        <v>2</v>
      </c>
      <c r="D3" s="3">
        <v>3</v>
      </c>
      <c r="E3" s="3">
        <v>4</v>
      </c>
      <c r="F3" s="3">
        <v>5</v>
      </c>
    </row>
    <row r="4" spans="1:6">
      <c r="A4" s="3">
        <v>1</v>
      </c>
      <c r="B4" s="6">
        <v>1</v>
      </c>
      <c r="C4" s="6">
        <v>2</v>
      </c>
      <c r="D4" s="6">
        <v>3</v>
      </c>
      <c r="E4" s="6">
        <v>4</v>
      </c>
      <c r="F4" s="6">
        <v>5</v>
      </c>
    </row>
    <row r="5" spans="1:6">
      <c r="A5" s="3">
        <v>2</v>
      </c>
      <c r="B5" s="6">
        <v>2</v>
      </c>
      <c r="C5" s="6">
        <v>4</v>
      </c>
      <c r="D5" s="6">
        <v>6</v>
      </c>
      <c r="E5" s="7">
        <v>8</v>
      </c>
      <c r="F5" s="7">
        <v>10</v>
      </c>
    </row>
    <row r="6" spans="1:6">
      <c r="A6" s="3">
        <v>3</v>
      </c>
      <c r="B6" s="6">
        <v>3</v>
      </c>
      <c r="C6" s="6">
        <v>6</v>
      </c>
      <c r="D6" s="7">
        <v>9</v>
      </c>
      <c r="E6" s="7">
        <v>12</v>
      </c>
      <c r="F6" s="8">
        <v>15</v>
      </c>
    </row>
    <row r="7" spans="1:6">
      <c r="A7" s="3">
        <v>4</v>
      </c>
      <c r="B7" s="6">
        <v>4</v>
      </c>
      <c r="C7" s="7">
        <v>8</v>
      </c>
      <c r="D7" s="7">
        <v>12</v>
      </c>
      <c r="E7" s="8">
        <v>16</v>
      </c>
      <c r="F7" s="8">
        <v>20</v>
      </c>
    </row>
    <row r="8" spans="1:6">
      <c r="A8" s="3">
        <v>5</v>
      </c>
      <c r="B8" s="6">
        <v>5</v>
      </c>
      <c r="C8" s="7">
        <v>10</v>
      </c>
      <c r="D8" s="8">
        <v>15</v>
      </c>
      <c r="E8" s="8">
        <v>20</v>
      </c>
      <c r="F8" s="8">
        <v>25</v>
      </c>
    </row>
    <row r="10" spans="1:6">
      <c r="A10" s="9" t="s">
        <v>101</v>
      </c>
    </row>
    <row r="11" spans="1:6">
      <c r="A11" s="9" t="s">
        <v>102</v>
      </c>
    </row>
    <row r="12" spans="1:6">
      <c r="A12" s="9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1"/>
  <sheetViews>
    <sheetView workbookViewId="0"/>
  </sheetViews>
  <sheetFormatPr defaultRowHeight="15"/>
  <cols>
    <col min="1" max="1" width="110.7109375" customWidth="1"/>
  </cols>
  <sheetData>
    <row r="1" spans="1:1">
      <c r="A1" s="1" t="s">
        <v>104</v>
      </c>
    </row>
    <row r="3" spans="1:1">
      <c r="A3" s="9" t="s">
        <v>105</v>
      </c>
    </row>
    <row r="5" spans="1:1">
      <c r="A5" s="9" t="s">
        <v>106</v>
      </c>
    </row>
    <row r="7" spans="1:1">
      <c r="A7" s="9" t="s">
        <v>107</v>
      </c>
    </row>
    <row r="9" spans="1:1">
      <c r="A9" s="9" t="s">
        <v>108</v>
      </c>
    </row>
    <row r="11" spans="1:1">
      <c r="A11" s="9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ATV Matrix</vt:lpstr>
      <vt:lpstr>Risk Heat Map</vt:lpstr>
      <vt:lpstr>Presentation 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2026-05-13T01:10:25Z</dcterms:created>
  <dcterms:modified xsi:type="dcterms:W3CDTF">2026-05-13T01:10:25Z</dcterms:modified>
</cp:coreProperties>
</file>